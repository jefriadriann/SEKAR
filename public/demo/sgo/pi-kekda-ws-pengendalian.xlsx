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ndalian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6" customWidth="1" min="4" max="4"/>
    <col width="12" customWidth="1" min="5" max="5"/>
    <col width="14" customWidth="1" min="6" max="6"/>
    <col width="34" customWidth="1" min="7" max="7"/>
    <col width="10" customWidth="1" min="8" max="8"/>
    <col width="30" customWidth="1" min="9" max="9"/>
    <col width="14" customWidth="1" min="10" max="10"/>
    <col width="32" customWidth="1" min="11" max="11"/>
    <col width="22" customWidth="1" min="12" max="12"/>
  </cols>
  <sheetData>
    <row r="1">
      <c r="A1" s="1" t="inlineStr">
        <is>
          <t>WORKSHEET PENGENDALIAN — AREA PI-KEKDA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PI-KEKDA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Risiko</t>
        </is>
      </c>
      <c r="D10" s="5" t="inlineStr">
        <is>
          <t>Pengendalian Kunci</t>
        </is>
      </c>
      <c r="E10" s="5" t="inlineStr">
        <is>
          <t>Jenis</t>
        </is>
      </c>
      <c r="F10" s="5" t="inlineStr">
        <is>
          <t>Frekuensi</t>
        </is>
      </c>
      <c r="G10" s="5" t="inlineStr">
        <is>
          <t>Prosedur Pengujian</t>
        </is>
      </c>
      <c r="H10" s="5" t="inlineStr">
        <is>
          <t>Jumlah Sampel</t>
        </is>
      </c>
      <c r="I10" s="5" t="inlineStr">
        <is>
          <t>Hasil Pengujian</t>
        </is>
      </c>
      <c r="J10" s="5" t="inlineStr">
        <is>
          <t>Kesimpulan</t>
        </is>
      </c>
      <c r="K10" s="5" t="inlineStr">
        <is>
          <t>Rekomendasi</t>
        </is>
      </c>
      <c r="L10" s="5" t="inlineStr">
        <is>
          <t>Referensi Ketentuan</t>
        </is>
      </c>
    </row>
    <row r="11" ht="42" customHeight="1">
      <c r="A11" s="6" t="n">
        <v>1</v>
      </c>
      <c r="B11" s="6" t="inlineStr">
        <is>
          <t>Perencanaan kajian</t>
        </is>
      </c>
      <c r="C11" s="6" t="inlineStr">
        <is>
          <t>Topik tidak relevan</t>
        </is>
      </c>
      <c r="D11" s="6" t="inlineStr">
        <is>
          <t>Rapat penetapan topik dengan pimpinan</t>
        </is>
      </c>
      <c r="E11" s="6" t="inlineStr">
        <is>
          <t>Preventif</t>
        </is>
      </c>
      <c r="F11" s="6" t="inlineStr">
        <is>
          <t>Tahunan</t>
        </is>
      </c>
      <c r="G11" s="6" t="inlineStr">
        <is>
          <t>Ambil sampel dan uji apakah 'rapat penetapan topik dengan pimpinan' dijalankan dan terdokumentasi.</t>
        </is>
      </c>
      <c r="H11" s="7" t="n">
        <v>5</v>
      </c>
      <c r="I11" s="7" t="inlineStr">
        <is>
          <t>Seluruh sampel sesuai.</t>
        </is>
      </c>
      <c r="J11" s="7" t="inlineStr">
        <is>
          <t>Efektif</t>
        </is>
      </c>
      <c r="K11" s="7" t="inlineStr">
        <is>
          <t>-</t>
        </is>
      </c>
      <c r="L11" s="6" t="inlineStr">
        <is>
          <t>PADGI SIM/PI-KEK Pasal 3</t>
        </is>
      </c>
    </row>
    <row r="12" ht="42" customHeight="1">
      <c r="A12" s="8" t="n">
        <v>2</v>
      </c>
      <c r="B12" s="8" t="inlineStr">
        <is>
          <t>Pengumpulan data</t>
        </is>
      </c>
      <c r="C12" s="8" t="inlineStr">
        <is>
          <t>Data tidak valid</t>
        </is>
      </c>
      <c r="D12" s="8" t="inlineStr">
        <is>
          <t>Validasi berjenjang atas data survei</t>
        </is>
      </c>
      <c r="E12" s="8" t="inlineStr">
        <is>
          <t>Detektif</t>
        </is>
      </c>
      <c r="F12" s="8" t="inlineStr">
        <is>
          <t>Triwulanan</t>
        </is>
      </c>
      <c r="G12" s="8" t="inlineStr">
        <is>
          <t>Ambil sampel dan uji apakah 'validasi berjenjang atas data survei' dijalankan dan terdokumentasi.</t>
        </is>
      </c>
      <c r="H12" s="7" t="n">
        <v>8</v>
      </c>
      <c r="I12" s="7" t="inlineStr">
        <is>
          <t>2 sampel tidak didukung bukti.</t>
        </is>
      </c>
      <c r="J12" s="7" t="inlineStr">
        <is>
          <t>Tidak efektif</t>
        </is>
      </c>
      <c r="K12" s="7" t="inlineStr">
        <is>
          <t>Perkuat dokumentasi pengendalian dan lakukan reviu berjenjang.</t>
        </is>
      </c>
      <c r="L12" s="8" t="inlineStr">
        <is>
          <t>PADGI SIM/PI-KEK Pasal 4</t>
        </is>
      </c>
    </row>
    <row r="13" ht="42" customHeight="1">
      <c r="A13" s="6" t="n">
        <v>3</v>
      </c>
      <c r="B13" s="6" t="inlineStr">
        <is>
          <t>Analisis</t>
        </is>
      </c>
      <c r="C13" s="6" t="inlineStr">
        <is>
          <t>Analisis tidak didukung data</t>
        </is>
      </c>
      <c r="D13" s="6" t="inlineStr">
        <is>
          <t>Reviu sejawat (peer review)</t>
        </is>
      </c>
      <c r="E13" s="6" t="inlineStr">
        <is>
          <t>Detektif</t>
        </is>
      </c>
      <c r="F13" s="6" t="inlineStr">
        <is>
          <t>Triwulanan</t>
        </is>
      </c>
      <c r="G13" s="6" t="inlineStr">
        <is>
          <t>Ambil sampel dan uji apakah 'reviu sejawat (peer review)' dijalankan dan terdokumentasi.</t>
        </is>
      </c>
      <c r="H13" s="7" t="n">
        <v>11</v>
      </c>
      <c r="I13" s="7" t="inlineStr">
        <is>
          <t>Seluruh sampel sesuai.</t>
        </is>
      </c>
      <c r="J13" s="7" t="inlineStr">
        <is>
          <t>Efektif</t>
        </is>
      </c>
      <c r="K13" s="7" t="inlineStr">
        <is>
          <t>-</t>
        </is>
      </c>
      <c r="L13" s="6" t="inlineStr">
        <is>
          <t>PADGI SIM/PI-KEK Pasal 5</t>
        </is>
      </c>
    </row>
    <row r="14" ht="42" customHeight="1">
      <c r="A14" s="8" t="n">
        <v>4</v>
      </c>
      <c r="B14" s="8" t="inlineStr">
        <is>
          <t>Diseminasi</t>
        </is>
      </c>
      <c r="C14" s="8" t="inlineStr">
        <is>
          <t>Diseminasi tidak terjadwal</t>
        </is>
      </c>
      <c r="D14" s="8" t="inlineStr">
        <is>
          <t>Kalender diseminasi tahunan</t>
        </is>
      </c>
      <c r="E14" s="8" t="inlineStr">
        <is>
          <t>Preventif</t>
        </is>
      </c>
      <c r="F14" s="8" t="inlineStr">
        <is>
          <t>Triwulanan</t>
        </is>
      </c>
      <c r="G14" s="8" t="inlineStr">
        <is>
          <t>Ambil sampel dan uji apakah 'kalender diseminasi tahunan' dijalankan dan terdokumentasi.</t>
        </is>
      </c>
      <c r="H14" s="7" t="n">
        <v>14</v>
      </c>
      <c r="I14" s="7" t="inlineStr">
        <is>
          <t>Seluruh sampel sesuai.</t>
        </is>
      </c>
      <c r="J14" s="7" t="inlineStr">
        <is>
          <t>Efektif</t>
        </is>
      </c>
      <c r="K14" s="7" t="inlineStr">
        <is>
          <t>-</t>
        </is>
      </c>
      <c r="L14" s="8" t="inlineStr">
        <is>
          <t>PADGI SIM/PI-KEK Pasal 6</t>
        </is>
      </c>
    </row>
    <row r="15" ht="42" customHeight="1">
      <c r="A15" s="6" t="n">
        <v>5</v>
      </c>
      <c r="B15" s="6" t="inlineStr">
        <is>
          <t>Dokumentasi</t>
        </is>
      </c>
      <c r="C15" s="6" t="inlineStr">
        <is>
          <t>Kertas kerja tidak dapat ditelusuri</t>
        </is>
      </c>
      <c r="D15" s="6" t="inlineStr">
        <is>
          <t>Struktur folder baku + checklist arsip</t>
        </is>
      </c>
      <c r="E15" s="6" t="inlineStr">
        <is>
          <t>Preventif</t>
        </is>
      </c>
      <c r="F15" s="6" t="inlineStr">
        <is>
          <t>Setiap kajian</t>
        </is>
      </c>
      <c r="G15" s="6" t="inlineStr">
        <is>
          <t>Ambil sampel dan uji apakah 'struktur folder baku + checklist arsip' dijalankan dan terdokumentasi.</t>
        </is>
      </c>
      <c r="H15" s="7" t="n">
        <v>6</v>
      </c>
      <c r="I15" s="7" t="inlineStr">
        <is>
          <t>2 sampel tidak didukung bukti.</t>
        </is>
      </c>
      <c r="J15" s="7" t="inlineStr">
        <is>
          <t>Tidak efektif</t>
        </is>
      </c>
      <c r="K15" s="7" t="inlineStr">
        <is>
          <t>Perkuat dokumentasi pengendalian dan lakukan reviu berjenjang.</t>
        </is>
      </c>
      <c r="L15" s="6" t="inlineStr">
        <is>
          <t>PADGI SIM/PI-KEK Pasal 7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E11:E35" showDropDown="0" showInputMessage="0" showErrorMessage="0" allowBlank="1" type="list">
      <formula1>"Preventif,Detektif,Korektif"</formula1>
    </dataValidation>
    <dataValidation sqref="J11:J35" showDropDown="0" showInputMessage="0" showErrorMessage="0" allowBlank="1" type="list">
      <formula1>"Efektif,Tidak efektif,Belum diuji"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Matriks Risiko (SIMULASI) — PI-KEKDA</t>
        </is>
      </c>
    </row>
    <row r="3">
      <c r="A3" s="10" t="inlineStr">
        <is>
          <t>No</t>
        </is>
      </c>
      <c r="B3" s="10" t="inlineStr">
        <is>
          <t>Risiko</t>
        </is>
      </c>
      <c r="C3" s="10" t="inlineStr">
        <is>
          <t>Kemungkinan (1-5)</t>
        </is>
      </c>
      <c r="D3" s="10" t="inlineStr">
        <is>
          <t>Dampak (1-5)</t>
        </is>
      </c>
      <c r="E3" s="10" t="inlineStr">
        <is>
          <t>Skor</t>
        </is>
      </c>
      <c r="F3" s="10" t="inlineStr">
        <is>
          <t>Level</t>
        </is>
      </c>
    </row>
    <row r="4">
      <c r="A4" t="n">
        <v>1</v>
      </c>
      <c r="B4" t="inlineStr">
        <is>
          <t>Topik tidak relevan</t>
        </is>
      </c>
      <c r="C4" t="n">
        <v>1</v>
      </c>
      <c r="D4" t="n">
        <v>2</v>
      </c>
      <c r="E4">
        <f>C4*D4</f>
        <v/>
      </c>
      <c r="F4">
        <f>IF(E4&gt;=12,"Tinggi",IF(E4&gt;=6,"Sedang","Rendah"))</f>
        <v/>
      </c>
    </row>
    <row r="5">
      <c r="A5" t="n">
        <v>2</v>
      </c>
      <c r="B5" t="inlineStr">
        <is>
          <t>Data tidak valid</t>
        </is>
      </c>
      <c r="C5" t="n">
        <v>3</v>
      </c>
      <c r="D5" t="n">
        <v>3</v>
      </c>
      <c r="E5">
        <f>C5*D5</f>
        <v/>
      </c>
      <c r="F5">
        <f>IF(E5&gt;=12,"Tinggi",IF(E5&gt;=6,"Sedang","Rendah"))</f>
        <v/>
      </c>
    </row>
    <row r="6">
      <c r="A6" t="n">
        <v>3</v>
      </c>
      <c r="B6" t="inlineStr">
        <is>
          <t>Analisis tidak didukung data</t>
        </is>
      </c>
      <c r="C6" t="n">
        <v>5</v>
      </c>
      <c r="D6" t="n">
        <v>4</v>
      </c>
      <c r="E6">
        <f>C6*D6</f>
        <v/>
      </c>
      <c r="F6">
        <f>IF(E6&gt;=12,"Tinggi",IF(E6&gt;=6,"Sedang","Rendah"))</f>
        <v/>
      </c>
    </row>
    <row r="7">
      <c r="A7" t="n">
        <v>4</v>
      </c>
      <c r="B7" t="inlineStr">
        <is>
          <t>Diseminasi tidak terjadwal</t>
        </is>
      </c>
      <c r="C7" t="n">
        <v>2</v>
      </c>
      <c r="D7" t="n">
        <v>5</v>
      </c>
      <c r="E7">
        <f>C7*D7</f>
        <v/>
      </c>
      <c r="F7">
        <f>IF(E7&gt;=12,"Tinggi",IF(E7&gt;=6,"Sedang","Rendah"))</f>
        <v/>
      </c>
    </row>
    <row r="8">
      <c r="A8" t="n">
        <v>5</v>
      </c>
      <c r="B8" t="inlineStr">
        <is>
          <t>Kertas kerja tidak dapat ditelusuri</t>
        </is>
      </c>
      <c r="C8" t="n">
        <v>4</v>
      </c>
      <c r="D8" t="n">
        <v>2</v>
      </c>
      <c r="E8">
        <f>C8*D8</f>
        <v/>
      </c>
      <c r="F8">
        <f>IF(E8&gt;=12,"Tinggi",IF(E8&gt;=6,"Sedang","Rendah"))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Lembar Pengendalian memetakan risiko utama tiap proses dan pengendalian kuncinya.</t>
        </is>
      </c>
    </row>
    <row r="4">
      <c r="A4" s="11" t="n">
        <v>2</v>
      </c>
      <c r="B4" s="12" t="inlineStr">
        <is>
          <t>Tentukan jenis pengendalian (Preventif/Detektif/Korektif) dan frekuensinya.</t>
        </is>
      </c>
    </row>
    <row r="5">
      <c r="A5" s="11" t="n">
        <v>3</v>
      </c>
      <c r="B5" s="12" t="inlineStr">
        <is>
          <t>Lakukan prosedur pengujian atas sampel lalu catat hasilnya.</t>
        </is>
      </c>
    </row>
    <row r="6">
      <c r="A6" s="11" t="n">
        <v>4</v>
      </c>
      <c r="B6" s="12" t="inlineStr">
        <is>
          <t>Pilih kesimpulan Efektif / Tidak efektif; isi rekomendasi bila tidak efektif.</t>
        </is>
      </c>
    </row>
    <row r="7">
      <c r="A7" s="11" t="n">
        <v>5</v>
      </c>
      <c r="B7" s="12" t="inlineStr">
        <is>
          <t>Cantumkan referensi ketentuan (lihat menu Ketentuan di SEKAR).</t>
        </is>
      </c>
    </row>
    <row r="8">
      <c r="A8" s="11" t="n">
        <v>6</v>
      </c>
      <c r="B8" s="12" t="inlineStr">
        <is>
          <t>Lembar Matriks Risiko menghitung skor = kemungkinan x dampak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