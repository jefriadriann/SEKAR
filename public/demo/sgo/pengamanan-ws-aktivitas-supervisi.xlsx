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PENGAMANAN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Pengamanan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</t>
        </is>
      </c>
      <c r="C11" s="6" t="inlineStr">
        <is>
          <t>Menyusun rencana pengamanan</t>
        </is>
      </c>
      <c r="D11" s="6" t="inlineStr">
        <is>
          <t>Rencana pengamanan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Rencana pengamanan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Akses fisik</t>
        </is>
      </c>
      <c r="C12" s="8" t="inlineStr">
        <is>
          <t>Mengelola hak akses area terbatas</t>
        </is>
      </c>
      <c r="D12" s="8" t="inlineStr">
        <is>
          <t>Daftar hak akses</t>
        </is>
      </c>
      <c r="E12" s="8" t="inlineStr">
        <is>
          <t>Bulanan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Daftar hak akses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Perangkat</t>
        </is>
      </c>
      <c r="C13" s="6" t="inlineStr">
        <is>
          <t>Menguji fungsi perangkat pengamanan</t>
        </is>
      </c>
      <c r="D13" s="6" t="inlineStr">
        <is>
          <t>Laporan uji fungsi</t>
        </is>
      </c>
      <c r="E13" s="6" t="inlineStr">
        <is>
          <t>Bulanan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Laporan uji fungsi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Tanggap darurat</t>
        </is>
      </c>
      <c r="C14" s="8" t="inlineStr">
        <is>
          <t>Melaksanakan latihan tanggap darurat</t>
        </is>
      </c>
      <c r="D14" s="8" t="inlineStr">
        <is>
          <t>Laporan latihan</t>
        </is>
      </c>
      <c r="E14" s="8" t="inlineStr">
        <is>
          <t>Tahunan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Laporan latihan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Pengawalan</t>
        </is>
      </c>
      <c r="C15" s="6" t="inlineStr">
        <is>
          <t>Mengamankan kegiatan pengiriman kas</t>
        </is>
      </c>
      <c r="D15" s="6" t="inlineStr">
        <is>
          <t>Laporan pengawalan</t>
        </is>
      </c>
      <c r="E15" s="6" t="inlineStr">
        <is>
          <t>Setiap kegiatan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Laporan pengawalan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5" showDropDown="0" showInputMessage="0" showErrorMessage="0" allowBlank="1" type="list">
      <formula1>"Ya,Tidak,Sebagian"</formula1>
    </dataValidation>
    <dataValidation sqref="K11:K35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Pengamanan</t>
        </is>
      </c>
    </row>
    <row r="3">
      <c r="A3" s="10" t="inlineStr">
        <is>
          <t>Jumlah aktivitas</t>
        </is>
      </c>
      <c r="B3">
        <f>COUNTA('Aktivitas &amp; Supervisi'!C11:C15)</f>
        <v/>
      </c>
    </row>
    <row r="4">
      <c r="A4" s="10" t="inlineStr">
        <is>
          <t>Dilaksanakan</t>
        </is>
      </c>
      <c r="B4">
        <f>COUNTIF('Aktivitas &amp; Supervisi'!G11:G15,"Ya")</f>
        <v/>
      </c>
    </row>
    <row r="5">
      <c r="A5" s="10" t="inlineStr">
        <is>
          <t>Tidak dilaksanakan</t>
        </is>
      </c>
      <c r="B5">
        <f>COUNTIF('Aktivitas &amp; Supervisi'!G11:G15,"Tidak")</f>
        <v/>
      </c>
    </row>
    <row r="6">
      <c r="A6" s="10" t="inlineStr">
        <is>
          <t>Supervisi memadai</t>
        </is>
      </c>
      <c r="B6">
        <f>COUNTIF('Aktivitas &amp; Supervisi'!K11:K15,"Memadai")</f>
        <v/>
      </c>
    </row>
    <row r="7">
      <c r="A7" s="10" t="inlineStr">
        <is>
          <t>Perlu perbaikan</t>
        </is>
      </c>
      <c r="B7">
        <f>COUNTIF('Aktivitas &amp; Supervisi'!K11:K15,"Perlu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