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PENGADAAN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Pengadaan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</t>
        </is>
      </c>
      <c r="C11" s="6" t="inlineStr">
        <is>
          <t>Menyusun rencana umum pengadaan</t>
        </is>
      </c>
      <c r="D11" s="6" t="inlineStr">
        <is>
          <t>RUP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RUP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Persiapan</t>
        </is>
      </c>
      <c r="C12" s="8" t="inlineStr">
        <is>
          <t>Menyusun harga perkiraan sendiri (HPS)</t>
        </is>
      </c>
      <c r="D12" s="8" t="inlineStr">
        <is>
          <t>Dokumen HPS</t>
        </is>
      </c>
      <c r="E12" s="8" t="inlineStr">
        <is>
          <t>Setiap paket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Dokumen HPS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Pemilihan penyedia</t>
        </is>
      </c>
      <c r="C13" s="6" t="inlineStr">
        <is>
          <t>Melaksanakan pemilihan penyedia</t>
        </is>
      </c>
      <c r="D13" s="6" t="inlineStr">
        <is>
          <t>BA hasil pemilihan</t>
        </is>
      </c>
      <c r="E13" s="6" t="inlineStr">
        <is>
          <t>Setiap paket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BA hasil pemilihan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Pelaksanaan kontrak</t>
        </is>
      </c>
      <c r="C14" s="8" t="inlineStr">
        <is>
          <t>Memantau pelaksanaan kontrak</t>
        </is>
      </c>
      <c r="D14" s="8" t="inlineStr">
        <is>
          <t>Laporan progres</t>
        </is>
      </c>
      <c r="E14" s="8" t="inlineStr">
        <is>
          <t>Mingguan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Laporan progres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Serah terima</t>
        </is>
      </c>
      <c r="C15" s="6" t="inlineStr">
        <is>
          <t>Melakukan pemeriksaan dan serah terima</t>
        </is>
      </c>
      <c r="D15" s="6" t="inlineStr">
        <is>
          <t>BAST</t>
        </is>
      </c>
      <c r="E15" s="6" t="inlineStr">
        <is>
          <t>Setiap paket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BAST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  <row r="16" ht="42" customHeight="1">
      <c r="A16" s="8" t="n">
        <v>6</v>
      </c>
      <c r="B16" s="8" t="inlineStr">
        <is>
          <t>Dokumentasi</t>
        </is>
      </c>
      <c r="C16" s="8" t="inlineStr">
        <is>
          <t>Mengarsipkan dokumen pengadaan</t>
        </is>
      </c>
      <c r="D16" s="8" t="inlineStr">
        <is>
          <t>Arsip pengadaan</t>
        </is>
      </c>
      <c r="E16" s="8" t="inlineStr">
        <is>
          <t>Setiap paket</t>
        </is>
      </c>
      <c r="F16" s="8" t="inlineStr">
        <is>
          <t>PIC Simulasi 2</t>
        </is>
      </c>
      <c r="G16" s="7" t="inlineStr">
        <is>
          <t>Ya</t>
        </is>
      </c>
      <c r="H16" s="7" t="inlineStr">
        <is>
          <t>Arsip pengadaan (scan)</t>
        </is>
      </c>
      <c r="I16" s="7" t="inlineStr">
        <is>
          <t>2026-09-15</t>
        </is>
      </c>
      <c r="J16" s="7" t="inlineStr">
        <is>
          <t>Kepala Unit Simulasi</t>
        </is>
      </c>
      <c r="K16" s="7" t="inlineStr">
        <is>
          <t>Memadai</t>
        </is>
      </c>
      <c r="L16" s="7" t="inlineStr">
        <is>
          <t>Bukti lengkap dan tepat waktu.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6" showDropDown="0" showInputMessage="0" showErrorMessage="0" allowBlank="1" type="list">
      <formula1>"Ya,Tidak,Sebagian"</formula1>
    </dataValidation>
    <dataValidation sqref="K11:K36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Pengadaan</t>
        </is>
      </c>
    </row>
    <row r="3">
      <c r="A3" s="10" t="inlineStr">
        <is>
          <t>Jumlah aktivitas</t>
        </is>
      </c>
      <c r="B3">
        <f>COUNTA('Aktivitas &amp; Supervisi'!C11:C16)</f>
        <v/>
      </c>
    </row>
    <row r="4">
      <c r="A4" s="10" t="inlineStr">
        <is>
          <t>Dilaksanakan</t>
        </is>
      </c>
      <c r="B4">
        <f>COUNTIF('Aktivitas &amp; Supervisi'!G11:G16,"Ya")</f>
        <v/>
      </c>
    </row>
    <row r="5">
      <c r="A5" s="10" t="inlineStr">
        <is>
          <t>Tidak dilaksanakan</t>
        </is>
      </c>
      <c r="B5">
        <f>COUNTIF('Aktivitas &amp; Supervisi'!G11:G16,"Tidak")</f>
        <v/>
      </c>
    </row>
    <row r="6">
      <c r="A6" s="10" t="inlineStr">
        <is>
          <t>Supervisi memadai</t>
        </is>
      </c>
      <c r="B6">
        <f>COUNTIF('Aktivitas &amp; Supervisi'!K11:K16,"Memadai")</f>
        <v/>
      </c>
    </row>
    <row r="7">
      <c r="A7" s="10" t="inlineStr">
        <is>
          <t>Perlu perbaikan</t>
        </is>
      </c>
      <c r="B7">
        <f>COUNTIF('Aktivitas &amp; Supervisi'!K11:K16,"Perlu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